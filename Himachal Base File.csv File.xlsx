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3e1508bb801ee6/Desktop/PROJECT IIT/"/>
    </mc:Choice>
  </mc:AlternateContent>
  <xr:revisionPtr revIDLastSave="393" documentId="8_{EC57D736-6035-4044-87C6-2CB392B32D21}" xr6:coauthVersionLast="47" xr6:coauthVersionMax="47" xr10:uidLastSave="{6CE9DB17-1250-4906-AE5F-C6621341993D}"/>
  <bookViews>
    <workbookView xWindow="-110" yWindow="-110" windowWidth="19420" windowHeight="10300" activeTab="1" xr2:uid="{00000000-000D-0000-FFFF-FFFF00000000}"/>
  </bookViews>
  <sheets>
    <sheet name="Registered Vehicle Data" sheetId="1" r:id="rId1"/>
    <sheet name="Expired Vehicle Summary" sheetId="2" r:id="rId2"/>
  </sheets>
  <definedNames>
    <definedName name="_xlnm._FilterDatabase" localSheetId="1" hidden="1">'Expired Vehicle Summary'!$A$1:$I$22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I13" i="2" s="1"/>
  <c r="G14" i="2"/>
  <c r="G15" i="2"/>
  <c r="G16" i="2"/>
  <c r="G17" i="2"/>
  <c r="I17" i="2" s="1"/>
  <c r="G18" i="2"/>
  <c r="G19" i="2"/>
  <c r="G20" i="2"/>
  <c r="I20" i="2" s="1"/>
  <c r="G21" i="2"/>
  <c r="G22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I4" i="2" l="1"/>
  <c r="I12" i="2"/>
  <c r="I15" i="2"/>
  <c r="I21" i="2"/>
  <c r="I9" i="2"/>
  <c r="I5" i="2"/>
  <c r="I3" i="2"/>
  <c r="I11" i="2"/>
  <c r="I2" i="2"/>
  <c r="I22" i="2"/>
  <c r="I10" i="2"/>
  <c r="I8" i="2"/>
  <c r="I19" i="2"/>
  <c r="I7" i="2"/>
  <c r="I18" i="2"/>
  <c r="I6" i="2"/>
  <c r="I16" i="2"/>
  <c r="I14" i="2"/>
</calcChain>
</file>

<file path=xl/sharedStrings.xml><?xml version="1.0" encoding="utf-8"?>
<sst xmlns="http://schemas.openxmlformats.org/spreadsheetml/2006/main" count="14" uniqueCount="14">
  <si>
    <t>Registration Year</t>
  </si>
  <si>
    <t>2W Expiry (Reg+20)</t>
  </si>
  <si>
    <t>Car Expiry (Reg+15)</t>
  </si>
  <si>
    <t>Two Wheelers Going to Expire</t>
  </si>
  <si>
    <t xml:space="preserve">Cars Counts Going To Expire </t>
  </si>
  <si>
    <t>Price of Two Wheelers after Expiry</t>
  </si>
  <si>
    <t xml:space="preserve"> New CarRegistered Counts</t>
  </si>
  <si>
    <t xml:space="preserve">New Car Price </t>
  </si>
  <si>
    <t>New Registered 2 Wheeler Average Price</t>
  </si>
  <si>
    <t>New 2 wheelers Registered Counts</t>
  </si>
  <si>
    <t>Average Price for Car After Expiry</t>
  </si>
  <si>
    <t>Total Renue for Car</t>
  </si>
  <si>
    <t xml:space="preserve">Total Revenue For two wheelers </t>
  </si>
  <si>
    <t>Total Market Potential revenew for two wheelers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</si>
</sst>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F5" sqref="F5"/>
    </sheetView>
  </sheetViews>
  <sheetFormatPr defaultRowHeight="14.5" x14ac:dyDescent="0.35"/>
  <cols>
    <col min="1" max="1" width="11.36328125" customWidth="1"/>
    <col min="2" max="2" width="15.90625" customWidth="1"/>
    <col min="3" max="3" width="15.26953125" bestFit="1" customWidth="1"/>
    <col min="4" max="4" width="17.08984375" bestFit="1" customWidth="1"/>
    <col min="5" max="5" width="13.7265625" customWidth="1"/>
    <col min="6" max="6" width="19.54296875" customWidth="1"/>
    <col min="7" max="7" width="15.6328125" customWidth="1"/>
    <col min="8" max="8" width="12.1796875" customWidth="1"/>
    <col min="9" max="9" width="17.08984375" bestFit="1" customWidth="1"/>
    <col min="10" max="10" width="24.90625" bestFit="1" customWidth="1"/>
    <col min="11" max="11" width="28.7265625" style="4" bestFit="1" customWidth="1"/>
  </cols>
  <sheetData>
    <row r="1" spans="1:5" ht="43.5" x14ac:dyDescent="0.35">
      <c r="A1" s="6" t="s">
        <v>0</v>
      </c>
      <c r="B1" s="6" t="s">
        <v>9</v>
      </c>
      <c r="C1" s="6" t="s">
        <v>8</v>
      </c>
      <c r="D1" s="6" t="s">
        <v>6</v>
      </c>
      <c r="E1" s="1" t="s">
        <v>7</v>
      </c>
    </row>
    <row r="2" spans="1:5" x14ac:dyDescent="0.35">
      <c r="A2" s="1">
        <v>2005</v>
      </c>
      <c r="B2" s="1">
        <v>18450</v>
      </c>
      <c r="C2" s="5">
        <v>40000</v>
      </c>
      <c r="D2" s="1">
        <v>2420</v>
      </c>
      <c r="E2" s="5">
        <v>500000</v>
      </c>
    </row>
    <row r="3" spans="1:5" x14ac:dyDescent="0.35">
      <c r="A3" s="1">
        <v>2006</v>
      </c>
      <c r="B3" s="1">
        <v>19300</v>
      </c>
      <c r="C3" s="5">
        <v>42000</v>
      </c>
      <c r="D3" s="1">
        <v>2510</v>
      </c>
      <c r="E3" s="5">
        <v>525000</v>
      </c>
    </row>
    <row r="4" spans="1:5" x14ac:dyDescent="0.35">
      <c r="A4" s="1">
        <v>2007</v>
      </c>
      <c r="B4" s="1">
        <v>20120</v>
      </c>
      <c r="C4" s="5">
        <v>44100</v>
      </c>
      <c r="D4" s="1">
        <v>2680</v>
      </c>
      <c r="E4" s="5">
        <v>551250</v>
      </c>
    </row>
    <row r="5" spans="1:5" x14ac:dyDescent="0.35">
      <c r="A5" s="1">
        <v>2008</v>
      </c>
      <c r="B5" s="1">
        <v>20650</v>
      </c>
      <c r="C5" s="5">
        <v>46305</v>
      </c>
      <c r="D5" s="1">
        <v>2740</v>
      </c>
      <c r="E5" s="5">
        <v>578812.5</v>
      </c>
    </row>
    <row r="6" spans="1:5" x14ac:dyDescent="0.35">
      <c r="A6" s="1">
        <v>2009</v>
      </c>
      <c r="B6" s="1">
        <v>21100</v>
      </c>
      <c r="C6" s="5">
        <v>48620.25</v>
      </c>
      <c r="D6" s="1">
        <v>2810</v>
      </c>
      <c r="E6" s="5">
        <v>607753.125</v>
      </c>
    </row>
    <row r="7" spans="1:5" x14ac:dyDescent="0.35">
      <c r="A7" s="1">
        <v>2010</v>
      </c>
      <c r="B7" s="1">
        <v>22300</v>
      </c>
      <c r="C7" s="5">
        <v>51051.262499999997</v>
      </c>
      <c r="D7" s="1">
        <v>3020</v>
      </c>
      <c r="E7" s="5">
        <v>638140.78125</v>
      </c>
    </row>
    <row r="8" spans="1:5" x14ac:dyDescent="0.35">
      <c r="A8" s="1">
        <v>2011</v>
      </c>
      <c r="B8" s="1">
        <v>23000</v>
      </c>
      <c r="C8" s="5">
        <v>53603.825624999998</v>
      </c>
      <c r="D8" s="1">
        <v>3190</v>
      </c>
      <c r="E8" s="5">
        <v>670047.8203125</v>
      </c>
    </row>
    <row r="9" spans="1:5" x14ac:dyDescent="0.35">
      <c r="A9" s="1">
        <v>2012</v>
      </c>
      <c r="B9" s="1">
        <v>24200</v>
      </c>
      <c r="C9" s="5">
        <v>56284.016906249999</v>
      </c>
      <c r="D9" s="1">
        <v>3450</v>
      </c>
      <c r="E9" s="5">
        <v>703550.21132812498</v>
      </c>
    </row>
    <row r="10" spans="1:5" x14ac:dyDescent="0.35">
      <c r="A10" s="1">
        <v>2013</v>
      </c>
      <c r="B10" s="1">
        <v>25700</v>
      </c>
      <c r="C10" s="5">
        <v>59098.217751562501</v>
      </c>
      <c r="D10" s="1">
        <v>3700</v>
      </c>
      <c r="E10" s="5">
        <v>738727.72189453128</v>
      </c>
    </row>
    <row r="11" spans="1:5" x14ac:dyDescent="0.35">
      <c r="A11" s="1">
        <v>2014</v>
      </c>
      <c r="B11" s="1">
        <v>26500</v>
      </c>
      <c r="C11" s="5">
        <v>62053.128639140625</v>
      </c>
      <c r="D11" s="1">
        <v>3980</v>
      </c>
      <c r="E11" s="5">
        <v>775664.1079892579</v>
      </c>
    </row>
    <row r="12" spans="1:5" x14ac:dyDescent="0.35">
      <c r="A12" s="1">
        <v>2015</v>
      </c>
      <c r="B12" s="1">
        <v>27800</v>
      </c>
      <c r="C12" s="5">
        <v>65155.785071097656</v>
      </c>
      <c r="D12" s="1">
        <v>4150</v>
      </c>
      <c r="E12" s="5">
        <v>814447.31338872085</v>
      </c>
    </row>
    <row r="13" spans="1:5" x14ac:dyDescent="0.35">
      <c r="A13" s="1">
        <v>2016</v>
      </c>
      <c r="B13" s="1">
        <v>28600</v>
      </c>
      <c r="C13" s="5">
        <v>68413.574324652538</v>
      </c>
      <c r="D13" s="1">
        <v>4300</v>
      </c>
      <c r="E13" s="5">
        <v>855169.67905815691</v>
      </c>
    </row>
    <row r="14" spans="1:5" x14ac:dyDescent="0.35">
      <c r="A14" s="1">
        <v>2017</v>
      </c>
      <c r="B14" s="1">
        <v>29100</v>
      </c>
      <c r="C14" s="5">
        <v>71834.25304088516</v>
      </c>
      <c r="D14" s="1">
        <v>4600</v>
      </c>
      <c r="E14" s="5">
        <v>897928.16301106475</v>
      </c>
    </row>
    <row r="15" spans="1:5" x14ac:dyDescent="0.35">
      <c r="A15" s="1">
        <v>2018</v>
      </c>
      <c r="B15" s="1">
        <v>30400</v>
      </c>
      <c r="C15" s="5">
        <v>75425.965692929414</v>
      </c>
      <c r="D15" s="1">
        <v>4900</v>
      </c>
      <c r="E15" s="5">
        <v>942824.57116161799</v>
      </c>
    </row>
    <row r="16" spans="1:5" x14ac:dyDescent="0.35">
      <c r="A16" s="1">
        <v>2019</v>
      </c>
      <c r="B16" s="1">
        <v>31700</v>
      </c>
      <c r="C16" s="5">
        <v>79197.263977575887</v>
      </c>
      <c r="D16" s="1">
        <v>5120</v>
      </c>
      <c r="E16" s="5">
        <v>989965.79971969884</v>
      </c>
    </row>
    <row r="17" spans="1:11" x14ac:dyDescent="0.35">
      <c r="A17" s="1">
        <v>2020</v>
      </c>
      <c r="B17" s="1">
        <v>28900</v>
      </c>
      <c r="C17" s="5">
        <v>83157.127176454684</v>
      </c>
      <c r="D17" s="1">
        <v>4800</v>
      </c>
      <c r="E17" s="5">
        <v>1039464.0897056838</v>
      </c>
    </row>
    <row r="18" spans="1:11" x14ac:dyDescent="0.35">
      <c r="A18" s="1">
        <v>2021</v>
      </c>
      <c r="B18" s="1">
        <v>32200</v>
      </c>
      <c r="C18" s="5">
        <v>87314.983535277424</v>
      </c>
      <c r="D18" s="1">
        <v>5400</v>
      </c>
      <c r="E18" s="5">
        <v>1091437.2941909679</v>
      </c>
    </row>
    <row r="19" spans="1:11" x14ac:dyDescent="0.35">
      <c r="A19" s="1">
        <v>2022</v>
      </c>
      <c r="B19" s="1">
        <v>33100</v>
      </c>
      <c r="C19" s="5">
        <v>91680.732712041296</v>
      </c>
      <c r="D19" s="1">
        <v>5700</v>
      </c>
      <c r="E19" s="5">
        <v>1146009.1589005163</v>
      </c>
    </row>
    <row r="20" spans="1:11" x14ac:dyDescent="0.35">
      <c r="A20" s="1">
        <v>2023</v>
      </c>
      <c r="B20" s="1">
        <v>34500</v>
      </c>
      <c r="C20" s="5">
        <v>96264.769347643363</v>
      </c>
      <c r="D20" s="1">
        <v>5900</v>
      </c>
      <c r="E20" s="5">
        <v>1203309.6168455421</v>
      </c>
    </row>
    <row r="21" spans="1:11" x14ac:dyDescent="0.35">
      <c r="A21" s="1">
        <v>2024</v>
      </c>
      <c r="B21" s="1">
        <v>35200</v>
      </c>
      <c r="C21" s="5">
        <v>101078.00781502553</v>
      </c>
      <c r="D21" s="1">
        <v>6100</v>
      </c>
      <c r="E21" s="5">
        <v>1263475.0976878193</v>
      </c>
    </row>
    <row r="22" spans="1:11" x14ac:dyDescent="0.35">
      <c r="A22" s="1">
        <v>2025</v>
      </c>
      <c r="B22" s="1">
        <v>36800</v>
      </c>
      <c r="C22" s="5">
        <v>106131.90820577681</v>
      </c>
      <c r="D22" s="1">
        <v>6600</v>
      </c>
      <c r="E22" s="5">
        <v>1326648.8525722101</v>
      </c>
    </row>
    <row r="23" spans="1:11" x14ac:dyDescent="0.35">
      <c r="A23" s="7"/>
      <c r="B23" s="7"/>
      <c r="C23" s="7"/>
      <c r="D23" s="7"/>
      <c r="E23" s="7"/>
      <c r="F23" s="8"/>
      <c r="G23" s="7"/>
      <c r="H23" s="7"/>
      <c r="I23" s="7"/>
      <c r="J23" s="7"/>
      <c r="K23" s="8"/>
    </row>
    <row r="24" spans="1:11" x14ac:dyDescent="0.35">
      <c r="A24" s="7"/>
      <c r="B24" s="7"/>
      <c r="C24" s="7"/>
      <c r="D24" s="7"/>
      <c r="E24" s="7"/>
      <c r="F24" s="8"/>
      <c r="G24" s="8"/>
      <c r="H24" s="7"/>
      <c r="I24" s="7"/>
      <c r="J24" s="7"/>
      <c r="K24" s="8"/>
    </row>
    <row r="25" spans="1:11" x14ac:dyDescent="0.35">
      <c r="A25" s="7"/>
      <c r="B25" s="7"/>
      <c r="C25" s="7"/>
      <c r="D25" s="7"/>
      <c r="E25" s="7"/>
      <c r="F25" s="8"/>
      <c r="G25" s="7"/>
      <c r="H25" s="7"/>
      <c r="I25" s="7"/>
      <c r="J25" s="7"/>
      <c r="K25" s="8"/>
    </row>
    <row r="26" spans="1:11" x14ac:dyDescent="0.35">
      <c r="A26" s="7"/>
      <c r="B26" s="7"/>
      <c r="C26" s="7"/>
      <c r="D26" s="7"/>
      <c r="E26" s="7"/>
      <c r="F26" s="8"/>
      <c r="G26" s="8"/>
      <c r="H26" s="7"/>
      <c r="I26" s="7"/>
      <c r="J26" s="7"/>
      <c r="K26" s="8"/>
    </row>
    <row r="27" spans="1:11" x14ac:dyDescent="0.35">
      <c r="A27" s="7"/>
      <c r="B27" s="7"/>
      <c r="C27" s="7"/>
      <c r="D27" s="7"/>
      <c r="E27" s="7"/>
      <c r="F27" s="8"/>
      <c r="G27" s="7"/>
      <c r="H27" s="7"/>
      <c r="I27" s="7"/>
      <c r="J27" s="7"/>
      <c r="K27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zoomScale="85" zoomScaleNormal="85" workbookViewId="0">
      <selection activeCell="F1" sqref="F1"/>
    </sheetView>
  </sheetViews>
  <sheetFormatPr defaultRowHeight="14.5" x14ac:dyDescent="0.35"/>
  <cols>
    <col min="1" max="1" width="25.7265625" customWidth="1"/>
    <col min="2" max="2" width="26.08984375" customWidth="1"/>
    <col min="3" max="3" width="24.08984375" customWidth="1"/>
    <col min="4" max="4" width="17.08984375" bestFit="1" customWidth="1"/>
    <col min="5" max="5" width="24.90625" bestFit="1" customWidth="1"/>
    <col min="6" max="6" width="28.7265625" bestFit="1" customWidth="1"/>
    <col min="7" max="7" width="17.08984375" bestFit="1" customWidth="1"/>
    <col min="8" max="8" width="28.26953125" bestFit="1" customWidth="1"/>
    <col min="9" max="9" width="26.453125" customWidth="1"/>
  </cols>
  <sheetData>
    <row r="1" spans="1:9" ht="43.5" x14ac:dyDescent="0.35">
      <c r="A1" s="9" t="s">
        <v>1</v>
      </c>
      <c r="B1" s="11" t="s">
        <v>3</v>
      </c>
      <c r="C1" s="11" t="s">
        <v>5</v>
      </c>
      <c r="D1" s="9" t="s">
        <v>2</v>
      </c>
      <c r="E1" s="9" t="s">
        <v>4</v>
      </c>
      <c r="F1" s="9" t="s">
        <v>10</v>
      </c>
      <c r="G1" s="9" t="s">
        <v>11</v>
      </c>
      <c r="H1" s="9" t="s">
        <v>12</v>
      </c>
      <c r="I1" s="11" t="s">
        <v>13</v>
      </c>
    </row>
    <row r="2" spans="1:9" x14ac:dyDescent="0.35">
      <c r="A2" s="2">
        <v>2025</v>
      </c>
      <c r="B2" s="2">
        <v>0</v>
      </c>
      <c r="C2" s="3">
        <v>106131.90820577681</v>
      </c>
      <c r="D2" s="2">
        <v>2020</v>
      </c>
      <c r="E2" s="2">
        <v>2420</v>
      </c>
      <c r="F2" s="3">
        <v>1326648.8525722101</v>
      </c>
      <c r="G2" s="10">
        <f>F2*E2</f>
        <v>3210490223.2247486</v>
      </c>
      <c r="H2" s="10">
        <f>B2*C2</f>
        <v>0</v>
      </c>
      <c r="I2" s="10">
        <f>G2+H2</f>
        <v>3210490223.2247486</v>
      </c>
    </row>
    <row r="3" spans="1:9" x14ac:dyDescent="0.35">
      <c r="A3" s="2">
        <v>2026</v>
      </c>
      <c r="B3" s="2">
        <v>0</v>
      </c>
      <c r="C3" s="3">
        <v>111438.50361606565</v>
      </c>
      <c r="D3" s="2">
        <v>2021</v>
      </c>
      <c r="E3" s="2">
        <v>2510</v>
      </c>
      <c r="F3" s="3">
        <v>1392981.2952008205</v>
      </c>
      <c r="G3" s="10">
        <f t="shared" ref="G3:G22" si="0">F3*E3</f>
        <v>3496383050.9540596</v>
      </c>
      <c r="H3" s="10">
        <f t="shared" ref="H3:H22" si="1">B3*C3</f>
        <v>0</v>
      </c>
      <c r="I3" s="10">
        <f t="shared" ref="I3:I22" si="2">G3+H3</f>
        <v>3496383050.9540596</v>
      </c>
    </row>
    <row r="4" spans="1:9" x14ac:dyDescent="0.35">
      <c r="A4" s="2">
        <v>2027</v>
      </c>
      <c r="B4" s="2">
        <v>0</v>
      </c>
      <c r="C4" s="3">
        <v>117010.42879686893</v>
      </c>
      <c r="D4" s="2">
        <v>2022</v>
      </c>
      <c r="E4" s="2">
        <v>2680</v>
      </c>
      <c r="F4" s="3">
        <v>1462630.3599608615</v>
      </c>
      <c r="G4" s="10">
        <f t="shared" si="0"/>
        <v>3919849364.6951089</v>
      </c>
      <c r="H4" s="10">
        <f t="shared" si="1"/>
        <v>0</v>
      </c>
      <c r="I4" s="10">
        <f t="shared" si="2"/>
        <v>3919849364.6951089</v>
      </c>
    </row>
    <row r="5" spans="1:9" x14ac:dyDescent="0.35">
      <c r="A5" s="2">
        <v>2028</v>
      </c>
      <c r="B5" s="2">
        <v>0</v>
      </c>
      <c r="C5" s="3">
        <v>122860.95023671238</v>
      </c>
      <c r="D5" s="2">
        <v>2023</v>
      </c>
      <c r="E5" s="2">
        <v>2740</v>
      </c>
      <c r="F5" s="3">
        <v>1535761.8779589045</v>
      </c>
      <c r="G5" s="10">
        <f t="shared" si="0"/>
        <v>4207987545.6073985</v>
      </c>
      <c r="H5" s="10">
        <f t="shared" si="1"/>
        <v>0</v>
      </c>
      <c r="I5" s="10">
        <f t="shared" si="2"/>
        <v>4207987545.6073985</v>
      </c>
    </row>
    <row r="6" spans="1:9" x14ac:dyDescent="0.35">
      <c r="A6" s="2">
        <v>2029</v>
      </c>
      <c r="B6" s="2">
        <v>0</v>
      </c>
      <c r="C6" s="3">
        <v>129003.99774854799</v>
      </c>
      <c r="D6" s="2">
        <v>2024</v>
      </c>
      <c r="E6" s="2">
        <v>2810</v>
      </c>
      <c r="F6" s="3">
        <v>1612549.9718568497</v>
      </c>
      <c r="G6" s="10">
        <f t="shared" si="0"/>
        <v>4531265420.9177475</v>
      </c>
      <c r="H6" s="10">
        <f t="shared" si="1"/>
        <v>0</v>
      </c>
      <c r="I6" s="10">
        <f t="shared" si="2"/>
        <v>4531265420.9177475</v>
      </c>
    </row>
    <row r="7" spans="1:9" x14ac:dyDescent="0.35">
      <c r="A7" s="2">
        <v>2030</v>
      </c>
      <c r="B7" s="2">
        <v>18450</v>
      </c>
      <c r="C7" s="3">
        <v>135454.19763597538</v>
      </c>
      <c r="D7" s="2">
        <v>2025</v>
      </c>
      <c r="E7" s="2">
        <v>3020</v>
      </c>
      <c r="F7" s="3">
        <v>1693177.4704496921</v>
      </c>
      <c r="G7" s="10">
        <f t="shared" si="0"/>
        <v>5113395960.75807</v>
      </c>
      <c r="H7" s="10">
        <f t="shared" si="1"/>
        <v>2499129946.3837457</v>
      </c>
      <c r="I7" s="10">
        <f t="shared" si="2"/>
        <v>7612525907.1418152</v>
      </c>
    </row>
    <row r="8" spans="1:9" x14ac:dyDescent="0.35">
      <c r="A8" s="2">
        <v>2031</v>
      </c>
      <c r="B8" s="2">
        <v>19300</v>
      </c>
      <c r="C8" s="3">
        <v>142226.90751777415</v>
      </c>
      <c r="D8" s="2">
        <v>2026</v>
      </c>
      <c r="E8" s="2">
        <v>3190</v>
      </c>
      <c r="F8" s="3">
        <v>1777836.3439721768</v>
      </c>
      <c r="G8" s="10">
        <f t="shared" si="0"/>
        <v>5671297937.271244</v>
      </c>
      <c r="H8" s="10">
        <f t="shared" si="1"/>
        <v>2744979315.0930409</v>
      </c>
      <c r="I8" s="10">
        <f t="shared" si="2"/>
        <v>8416277252.3642845</v>
      </c>
    </row>
    <row r="9" spans="1:9" x14ac:dyDescent="0.35">
      <c r="A9" s="2">
        <v>2032</v>
      </c>
      <c r="B9" s="2">
        <v>20120</v>
      </c>
      <c r="C9" s="3">
        <v>149338.25289366287</v>
      </c>
      <c r="D9" s="2">
        <v>2027</v>
      </c>
      <c r="E9" s="2">
        <v>3450</v>
      </c>
      <c r="F9" s="3">
        <v>1866728.1611707855</v>
      </c>
      <c r="G9" s="10">
        <f t="shared" si="0"/>
        <v>6440212156.0392103</v>
      </c>
      <c r="H9" s="10">
        <f t="shared" si="1"/>
        <v>3004685648.2204967</v>
      </c>
      <c r="I9" s="10">
        <f t="shared" si="2"/>
        <v>9444897804.2597065</v>
      </c>
    </row>
    <row r="10" spans="1:9" x14ac:dyDescent="0.35">
      <c r="A10" s="2">
        <v>2033</v>
      </c>
      <c r="B10" s="2">
        <v>20650</v>
      </c>
      <c r="C10" s="3">
        <v>156805.16553834602</v>
      </c>
      <c r="D10" s="2">
        <v>2028</v>
      </c>
      <c r="E10" s="2">
        <v>3700</v>
      </c>
      <c r="F10" s="3">
        <v>1960064.5692293248</v>
      </c>
      <c r="G10" s="10">
        <f t="shared" si="0"/>
        <v>7252238906.1485014</v>
      </c>
      <c r="H10" s="10">
        <f t="shared" si="1"/>
        <v>3238026668.3668451</v>
      </c>
      <c r="I10" s="10">
        <f t="shared" si="2"/>
        <v>10490265574.515347</v>
      </c>
    </row>
    <row r="11" spans="1:9" x14ac:dyDescent="0.35">
      <c r="A11" s="2">
        <v>2034</v>
      </c>
      <c r="B11" s="2">
        <v>21100</v>
      </c>
      <c r="C11" s="3">
        <v>164645.42381526332</v>
      </c>
      <c r="D11" s="2">
        <v>2029</v>
      </c>
      <c r="E11" s="2">
        <v>3980</v>
      </c>
      <c r="F11" s="3">
        <v>2058067.7976907911</v>
      </c>
      <c r="G11" s="10">
        <f t="shared" si="0"/>
        <v>8191109834.8093481</v>
      </c>
      <c r="H11" s="10">
        <f t="shared" si="1"/>
        <v>3474018442.5020561</v>
      </c>
      <c r="I11" s="10">
        <f t="shared" si="2"/>
        <v>11665128277.311405</v>
      </c>
    </row>
    <row r="12" spans="1:9" x14ac:dyDescent="0.35">
      <c r="A12" s="2">
        <v>2035</v>
      </c>
      <c r="B12" s="2">
        <v>22300</v>
      </c>
      <c r="C12" s="3">
        <v>172877.69500602648</v>
      </c>
      <c r="D12" s="2">
        <v>2030</v>
      </c>
      <c r="E12" s="2">
        <v>4150</v>
      </c>
      <c r="F12" s="3">
        <v>2160971.1875753305</v>
      </c>
      <c r="G12" s="10">
        <f t="shared" si="0"/>
        <v>8968030428.4376221</v>
      </c>
      <c r="H12" s="10">
        <f t="shared" si="1"/>
        <v>3855172598.6343904</v>
      </c>
      <c r="I12" s="10">
        <f t="shared" si="2"/>
        <v>12823203027.072012</v>
      </c>
    </row>
    <row r="13" spans="1:9" x14ac:dyDescent="0.35">
      <c r="A13" s="2">
        <v>2036</v>
      </c>
      <c r="B13" s="2">
        <v>23000</v>
      </c>
      <c r="C13" s="3">
        <v>181521.57975632779</v>
      </c>
      <c r="D13" s="2">
        <v>2031</v>
      </c>
      <c r="E13" s="2">
        <v>4300</v>
      </c>
      <c r="F13" s="3">
        <v>2269019.7469540969</v>
      </c>
      <c r="G13" s="10">
        <f t="shared" si="0"/>
        <v>9756784911.9026165</v>
      </c>
      <c r="H13" s="10">
        <f t="shared" si="1"/>
        <v>4174996334.3955393</v>
      </c>
      <c r="I13" s="10">
        <f t="shared" si="2"/>
        <v>13931781246.298157</v>
      </c>
    </row>
    <row r="14" spans="1:9" x14ac:dyDescent="0.35">
      <c r="A14" s="2">
        <v>2037</v>
      </c>
      <c r="B14" s="2">
        <v>24200</v>
      </c>
      <c r="C14" s="3">
        <v>190597.65874414417</v>
      </c>
      <c r="D14" s="2">
        <v>2032</v>
      </c>
      <c r="E14" s="2">
        <v>4600</v>
      </c>
      <c r="F14" s="3">
        <v>2382470.7343018018</v>
      </c>
      <c r="G14" s="10">
        <f t="shared" si="0"/>
        <v>10959365377.788288</v>
      </c>
      <c r="H14" s="10">
        <f t="shared" si="1"/>
        <v>4612463341.6082888</v>
      </c>
      <c r="I14" s="10">
        <f t="shared" si="2"/>
        <v>15571828719.396576</v>
      </c>
    </row>
    <row r="15" spans="1:9" x14ac:dyDescent="0.35">
      <c r="A15" s="2">
        <v>2038</v>
      </c>
      <c r="B15" s="2">
        <v>25700</v>
      </c>
      <c r="C15" s="3">
        <v>200127.54168135137</v>
      </c>
      <c r="D15" s="2">
        <v>2033</v>
      </c>
      <c r="E15" s="2">
        <v>4900</v>
      </c>
      <c r="F15" s="3">
        <v>2501594.271016892</v>
      </c>
      <c r="G15" s="10">
        <f t="shared" si="0"/>
        <v>12257811927.982771</v>
      </c>
      <c r="H15" s="10">
        <f t="shared" si="1"/>
        <v>5143277821.2107306</v>
      </c>
      <c r="I15" s="10">
        <f t="shared" si="2"/>
        <v>17401089749.193501</v>
      </c>
    </row>
    <row r="16" spans="1:9" x14ac:dyDescent="0.35">
      <c r="A16" s="2">
        <v>2039</v>
      </c>
      <c r="B16" s="2">
        <v>26500</v>
      </c>
      <c r="C16" s="3">
        <v>210133.91876541893</v>
      </c>
      <c r="D16" s="2">
        <v>2034</v>
      </c>
      <c r="E16" s="2">
        <v>5120</v>
      </c>
      <c r="F16" s="3">
        <v>2626673.9845677367</v>
      </c>
      <c r="G16" s="10">
        <f t="shared" si="0"/>
        <v>13448570800.986813</v>
      </c>
      <c r="H16" s="10">
        <f t="shared" si="1"/>
        <v>5568548847.2836018</v>
      </c>
      <c r="I16" s="10">
        <f t="shared" si="2"/>
        <v>19017119648.270416</v>
      </c>
    </row>
    <row r="17" spans="1:9" x14ac:dyDescent="0.35">
      <c r="A17" s="2">
        <v>2040</v>
      </c>
      <c r="B17" s="2">
        <v>27800</v>
      </c>
      <c r="C17" s="3">
        <v>220640.61470368988</v>
      </c>
      <c r="D17" s="2">
        <v>2035</v>
      </c>
      <c r="E17" s="2">
        <v>4800</v>
      </c>
      <c r="F17" s="3">
        <v>2758007.6837961236</v>
      </c>
      <c r="G17" s="10">
        <f t="shared" si="0"/>
        <v>13238436882.221394</v>
      </c>
      <c r="H17" s="10">
        <f t="shared" si="1"/>
        <v>6133809088.762579</v>
      </c>
      <c r="I17" s="10">
        <f t="shared" si="2"/>
        <v>19372245970.983971</v>
      </c>
    </row>
    <row r="18" spans="1:9" x14ac:dyDescent="0.35">
      <c r="A18" s="2">
        <v>2041</v>
      </c>
      <c r="B18" s="2">
        <v>28600</v>
      </c>
      <c r="C18" s="3">
        <v>231672.64543887437</v>
      </c>
      <c r="D18" s="2">
        <v>2036</v>
      </c>
      <c r="E18" s="2">
        <v>5400</v>
      </c>
      <c r="F18" s="3">
        <v>2895908.0679859295</v>
      </c>
      <c r="G18" s="10">
        <f t="shared" si="0"/>
        <v>15637903567.12402</v>
      </c>
      <c r="H18" s="10">
        <f t="shared" si="1"/>
        <v>6625837659.5518074</v>
      </c>
      <c r="I18" s="10">
        <f t="shared" si="2"/>
        <v>22263741226.675827</v>
      </c>
    </row>
    <row r="19" spans="1:9" x14ac:dyDescent="0.35">
      <c r="A19" s="2">
        <v>2042</v>
      </c>
      <c r="B19" s="2">
        <v>29100</v>
      </c>
      <c r="C19" s="3">
        <v>243256.2777108181</v>
      </c>
      <c r="D19" s="2">
        <v>2037</v>
      </c>
      <c r="E19" s="2">
        <v>5700</v>
      </c>
      <c r="F19" s="3">
        <v>3040703.4713852261</v>
      </c>
      <c r="G19" s="10">
        <f t="shared" si="0"/>
        <v>17332009786.89579</v>
      </c>
      <c r="H19" s="10">
        <f t="shared" si="1"/>
        <v>7078757681.3848066</v>
      </c>
      <c r="I19" s="10">
        <f t="shared" si="2"/>
        <v>24410767468.280598</v>
      </c>
    </row>
    <row r="20" spans="1:9" x14ac:dyDescent="0.35">
      <c r="A20" s="2">
        <v>2043</v>
      </c>
      <c r="B20" s="2">
        <v>30400</v>
      </c>
      <c r="C20" s="3">
        <v>255419.09159635901</v>
      </c>
      <c r="D20" s="2">
        <v>2038</v>
      </c>
      <c r="E20" s="2">
        <v>5900</v>
      </c>
      <c r="F20" s="3">
        <v>3192738.6449544872</v>
      </c>
      <c r="G20" s="10">
        <f t="shared" si="0"/>
        <v>18837158005.231476</v>
      </c>
      <c r="H20" s="10">
        <f t="shared" si="1"/>
        <v>7764740384.529314</v>
      </c>
      <c r="I20" s="10">
        <f t="shared" si="2"/>
        <v>26601898389.760788</v>
      </c>
    </row>
    <row r="21" spans="1:9" x14ac:dyDescent="0.35">
      <c r="A21" s="2">
        <v>2044</v>
      </c>
      <c r="B21" s="2">
        <v>31700</v>
      </c>
      <c r="C21" s="3">
        <v>268190.04617617698</v>
      </c>
      <c r="D21" s="2">
        <v>2039</v>
      </c>
      <c r="E21" s="2">
        <v>6100</v>
      </c>
      <c r="F21" s="3">
        <v>3352375.5772022116</v>
      </c>
      <c r="G21" s="10">
        <f t="shared" si="0"/>
        <v>20449491020.933491</v>
      </c>
      <c r="H21" s="10">
        <f t="shared" si="1"/>
        <v>8501624463.7848101</v>
      </c>
      <c r="I21" s="10">
        <f t="shared" si="2"/>
        <v>28951115484.7183</v>
      </c>
    </row>
    <row r="22" spans="1:9" x14ac:dyDescent="0.35">
      <c r="A22" s="2">
        <v>2045</v>
      </c>
      <c r="B22" s="2">
        <v>28900</v>
      </c>
      <c r="C22" s="3">
        <v>281599.54848498583</v>
      </c>
      <c r="D22" s="2">
        <v>2040</v>
      </c>
      <c r="E22" s="2">
        <v>6600</v>
      </c>
      <c r="F22" s="3">
        <v>3519994.3560623224</v>
      </c>
      <c r="G22" s="10">
        <f t="shared" si="0"/>
        <v>23231962750.01133</v>
      </c>
      <c r="H22" s="10">
        <f t="shared" si="1"/>
        <v>8138226951.2160902</v>
      </c>
      <c r="I22" s="10">
        <f t="shared" si="2"/>
        <v>31370189701.227421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 Vehicle Data</vt:lpstr>
      <vt:lpstr>Expired Vehicle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Rajpal Parmar</cp:lastModifiedBy>
  <dcterms:created xsi:type="dcterms:W3CDTF">2025-11-27T17:02:51Z</dcterms:created>
  <dcterms:modified xsi:type="dcterms:W3CDTF">2025-12-09T17:59:17Z</dcterms:modified>
</cp:coreProperties>
</file>